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70" windowWidth="14055" windowHeight="6090" activeTab="4"/>
  </bookViews>
  <sheets>
    <sheet name="Cover" sheetId="1" r:id="rId1"/>
    <sheet name="Project1_Apple" sheetId="2" r:id="rId2"/>
    <sheet name="Project2_PeerComparison" sheetId="3" r:id="rId3"/>
    <sheet name="Charts_Apple" sheetId="4" r:id="rId4"/>
    <sheet name="Charts_PeerComparison" sheetId="5" r:id="rId5"/>
    <sheet name="Glossary" sheetId="6" r:id="rId6"/>
  </sheets>
  <calcPr calcId="145621"/>
</workbook>
</file>

<file path=xl/calcChain.xml><?xml version="1.0" encoding="utf-8"?>
<calcChain xmlns="http://schemas.openxmlformats.org/spreadsheetml/2006/main">
  <c r="F31" i="3" l="1"/>
  <c r="E31" i="3"/>
  <c r="D31" i="3"/>
  <c r="C31" i="3"/>
  <c r="F30" i="3"/>
  <c r="E30" i="3"/>
  <c r="D30" i="3"/>
  <c r="C30" i="3"/>
  <c r="F29" i="3"/>
  <c r="E29" i="3"/>
  <c r="D29" i="3"/>
  <c r="C29" i="3"/>
  <c r="F28" i="3"/>
  <c r="E28" i="3"/>
  <c r="D28" i="3"/>
  <c r="C28" i="3"/>
  <c r="F27" i="3"/>
  <c r="E27" i="3"/>
  <c r="D27" i="3"/>
  <c r="C27" i="3"/>
  <c r="F26" i="3"/>
  <c r="E26" i="3"/>
  <c r="D26" i="3"/>
  <c r="C26" i="3"/>
  <c r="F25" i="3"/>
  <c r="E25" i="3"/>
  <c r="D25" i="3"/>
  <c r="C25" i="3"/>
  <c r="F24" i="3"/>
  <c r="E24" i="3"/>
  <c r="D24" i="3"/>
  <c r="C24" i="3"/>
  <c r="G24" i="2"/>
  <c r="F24" i="2"/>
  <c r="E24" i="2"/>
  <c r="D24" i="2"/>
  <c r="C24" i="2"/>
  <c r="G23" i="2"/>
  <c r="F23" i="2"/>
  <c r="E23" i="2"/>
  <c r="D23" i="2"/>
  <c r="C23" i="2"/>
  <c r="G22" i="2"/>
  <c r="F22" i="2"/>
  <c r="E22" i="2"/>
  <c r="D22" i="2"/>
  <c r="C22" i="2"/>
  <c r="G21" i="2"/>
  <c r="F21" i="2"/>
  <c r="E21" i="2"/>
  <c r="D21" i="2"/>
  <c r="C21" i="2"/>
  <c r="G20" i="2"/>
  <c r="F20" i="2"/>
  <c r="E20" i="2"/>
  <c r="D20" i="2"/>
  <c r="C20" i="2"/>
  <c r="H19" i="2"/>
  <c r="G19" i="2"/>
  <c r="F19" i="2"/>
  <c r="E19" i="2"/>
</calcChain>
</file>

<file path=xl/sharedStrings.xml><?xml version="1.0" encoding="utf-8"?>
<sst xmlns="http://schemas.openxmlformats.org/spreadsheetml/2006/main" count="191" uniqueCount="149">
  <si>
    <t>FINANCIAL ANALYSIS PORTFOLIO</t>
  </si>
  <si>
    <t>─────────────────────────────────────────────────────</t>
  </si>
  <si>
    <t>Project 1</t>
  </si>
  <si>
    <t>Apple Inc. — Single Company Financial Analysis</t>
  </si>
  <si>
    <t>Income statement trends, 6 key ratios, 5-year analysis</t>
  </si>
  <si>
    <t>Project 2</t>
  </si>
  <si>
    <t>Tech Giants Peer Comparison (AAPL vs MSFT vs GOOGL)</t>
  </si>
  <si>
    <t>Cross-company benchmarking, valuation multiples, competitive ranking</t>
  </si>
  <si>
    <t>PROJECT 1 — Apple Inc. (AAPL)  |  5-Year Financial Analysis  |  FY2020–FY2024</t>
  </si>
  <si>
    <t>Metric</t>
  </si>
  <si>
    <t>2020</t>
  </si>
  <si>
    <t>2021</t>
  </si>
  <si>
    <t>2022</t>
  </si>
  <si>
    <t>2023</t>
  </si>
  <si>
    <t>2024</t>
  </si>
  <si>
    <t xml:space="preserve">  INCOME STATEMENT  (USD Billions)</t>
  </si>
  <si>
    <t>Revenue ($B)</t>
  </si>
  <si>
    <t>Gross Profit ($B)</t>
  </si>
  <si>
    <t>Operating Income ($B)</t>
  </si>
  <si>
    <t>Net Income ($B)</t>
  </si>
  <si>
    <t>EPS (Diluted, $)</t>
  </si>
  <si>
    <t xml:space="preserve">  BALANCE SHEET  (USD Billions)</t>
  </si>
  <si>
    <t>Total Assets ($B)</t>
  </si>
  <si>
    <t>Current Assets ($B)</t>
  </si>
  <si>
    <t>Current Liabilities ($B)</t>
  </si>
  <si>
    <t>Total Equity ($B)</t>
  </si>
  <si>
    <t>Total Debt ($B)</t>
  </si>
  <si>
    <t>Ratio / KPI</t>
  </si>
  <si>
    <t>Revenue Growth YoY (%)</t>
  </si>
  <si>
    <t>-</t>
  </si>
  <si>
    <t>Gross Profit Margin (%)</t>
  </si>
  <si>
    <t>Net Profit Margin (%)</t>
  </si>
  <si>
    <t>Return on Equity / ROE (%)</t>
  </si>
  <si>
    <t>Debt-to-Equity Ratio (x)</t>
  </si>
  <si>
    <t>Current Ratio (x)</t>
  </si>
  <si>
    <t>► Revenue Growth:  Apple grew revenue by ~42% from FY2020 to FY2024 ($274B → $391B), though growth slowed in FY2023 (-3%) before recovering.</t>
  </si>
  <si>
    <t>► Profitability:  Net profit margin is consistently ~24%, one of the highest in big tech, signalling exceptional pricing power and operational efficiency.</t>
  </si>
  <si>
    <t>► ROE:  ROE exceeds 100% in most years — Apple borrows cheaply to buy back shares, amplifying returns to equity holders.</t>
  </si>
  <si>
    <t>► Debt:  Debt-to-equity ratio is high (&gt;1.5x) but manageable given Apple's $90B+ annual operating cash flow and AAA-equivalent credit profile.</t>
  </si>
  <si>
    <t>► Liquidity:  Current ratio dropped below 1.0x in FY2022–FY2024 — Apple intentionally runs lean on working capital, which is acceptable given its cash generation.</t>
  </si>
  <si>
    <t>► Conclusion:  Apple is a financially robust, highly profitable company with strong but maturing revenue growth. Suitable as a long-term hold for value/growth investors.</t>
  </si>
  <si>
    <t>PROJECT 2 — Tech Giants Peer Comparison  |  AAPL vs MSFT vs GOOGL  |  FY2024</t>
  </si>
  <si>
    <t>Apple (AAPL)</t>
  </si>
  <si>
    <t>Microsoft (MSFT)</t>
  </si>
  <si>
    <t>Alphabet (GOOGL)</t>
  </si>
  <si>
    <t>Best Performer</t>
  </si>
  <si>
    <t>Why It Matters</t>
  </si>
  <si>
    <t xml:space="preserve">  INCOME STATEMENT — FY2024  (USD Billions)</t>
  </si>
  <si>
    <t>R&amp;D Expense ($B)</t>
  </si>
  <si>
    <t xml:space="preserve">  BALANCE SHEET — FY2024  (USD Billions)</t>
  </si>
  <si>
    <t xml:space="preserve">  MARKET DATA — FY2024  (USD Billions)</t>
  </si>
  <si>
    <t>Market Cap ($B)</t>
  </si>
  <si>
    <t>Share Price ($)</t>
  </si>
  <si>
    <t>Shares Out. (B)</t>
  </si>
  <si>
    <t>Ratio</t>
  </si>
  <si>
    <t>Winner</t>
  </si>
  <si>
    <t>What it measures</t>
  </si>
  <si>
    <t>Higher = more pricing power</t>
  </si>
  <si>
    <t>Higher = more efficient</t>
  </si>
  <si>
    <t>Higher = better use of shareholders money</t>
  </si>
  <si>
    <t>Debt-to-Equity (x)</t>
  </si>
  <si>
    <t>Lower = less financial risk</t>
  </si>
  <si>
    <t>Above 1x = can pay short-term bills</t>
  </si>
  <si>
    <t>P/E Ratio (x)</t>
  </si>
  <si>
    <t>Lower = cheaper vs earnings</t>
  </si>
  <si>
    <t>P/S Ratio (x)</t>
  </si>
  <si>
    <t>Lower = cheaper vs revenue</t>
  </si>
  <si>
    <t>R&amp;D as % Revenue</t>
  </si>
  <si>
    <t>Higher = more innovation spend</t>
  </si>
  <si>
    <t xml:space="preserve">  OVERALL SCORECARD — Who Wins Each Category?</t>
  </si>
  <si>
    <t>Profitability (Margins)</t>
  </si>
  <si>
    <t>🏆 Microsoft</t>
  </si>
  <si>
    <t>Highest gross margin (80%+) = software business model advantage</t>
  </si>
  <si>
    <t>Growth &amp; Scale</t>
  </si>
  <si>
    <t>🏆 Apple</t>
  </si>
  <si>
    <t>Largest revenue base; stable, diversified revenue streams</t>
  </si>
  <si>
    <t>Valuation (Cheapest)</t>
  </si>
  <si>
    <t>🏆 Alphabet</t>
  </si>
  <si>
    <t>Lowest P/E and P/S among the three — potentially undervalued</t>
  </si>
  <si>
    <t>Balance Sheet Safety</t>
  </si>
  <si>
    <t>Lowest debt, highest equity — fortress balance sheet</t>
  </si>
  <si>
    <t>Returns to Shareholders</t>
  </si>
  <si>
    <t>Highest buybacks + dividends; extreme capital return discipline</t>
  </si>
  <si>
    <t>Innovation Spend</t>
  </si>
  <si>
    <t>Highest R&amp;D as % of revenue — biggest future investment bet</t>
  </si>
  <si>
    <t>Overall Recommendation</t>
  </si>
  <si>
    <t>Best balance of profitability, growth, and moderate valuation</t>
  </si>
  <si>
    <t>Project 1 Charts — Apple Inc. Financial Trends  |  FY2020–FY2024</t>
  </si>
  <si>
    <t>Year</t>
  </si>
  <si>
    <t>Gross Margin (%)</t>
  </si>
  <si>
    <t>Net Margin (%)</t>
  </si>
  <si>
    <t>ROE (%)</t>
  </si>
  <si>
    <t>D/E Ratio (x)</t>
  </si>
  <si>
    <t>Project 2 Charts — AAPL vs MSFT vs GOOGL  |  FY2024 Peer Comparison</t>
  </si>
  <si>
    <t>Apple</t>
  </si>
  <si>
    <t>Microsoft</t>
  </si>
  <si>
    <t>Alphabet</t>
  </si>
  <si>
    <t>GLOSSARY — Finance Terms Explained in Simple English</t>
  </si>
  <si>
    <t>Term</t>
  </si>
  <si>
    <t>Formula</t>
  </si>
  <si>
    <t>Plain English Meaning</t>
  </si>
  <si>
    <t>Revenue</t>
  </si>
  <si>
    <t>Sales total</t>
  </si>
  <si>
    <t>Total money earned from selling products/services</t>
  </si>
  <si>
    <t>Net Income</t>
  </si>
  <si>
    <t>Revenue − All Expenses</t>
  </si>
  <si>
    <t>What's left after paying all costs and taxes — actual profit</t>
  </si>
  <si>
    <t>Gross Profit</t>
  </si>
  <si>
    <t>Revenue − Cost of Goods Sold</t>
  </si>
  <si>
    <t>Profit before operating expenses like salaries</t>
  </si>
  <si>
    <t>EPS</t>
  </si>
  <si>
    <t>Net Income ÷ Shares Outstanding</t>
  </si>
  <si>
    <t>Profit per share — higher = better for shareholders</t>
  </si>
  <si>
    <t>Gross Margin</t>
  </si>
  <si>
    <t>Gross Profit ÷ Revenue</t>
  </si>
  <si>
    <t>How much of every sale is kept before overhead costs</t>
  </si>
  <si>
    <t>Net Profit Margin</t>
  </si>
  <si>
    <t>Net Income ÷ Revenue</t>
  </si>
  <si>
    <t>Final profit as % of revenue — efficiency measure</t>
  </si>
  <si>
    <t>ROE</t>
  </si>
  <si>
    <t>Net Income ÷ Shareholders Equity</t>
  </si>
  <si>
    <t>How well the company uses investor money to earn profit</t>
  </si>
  <si>
    <t>Debt-to-Equity</t>
  </si>
  <si>
    <t>Total Debt ÷ Total Equity</t>
  </si>
  <si>
    <t>Financial risk level — higher = more borrowed money</t>
  </si>
  <si>
    <t>Current Ratio</t>
  </si>
  <si>
    <t>Current Assets ÷ Current Liabilities</t>
  </si>
  <si>
    <t>Can it pay its bills in next 12 months? Above 1 = yes</t>
  </si>
  <si>
    <t>P/E Ratio</t>
  </si>
  <si>
    <t>Market Cap ÷ Net Income</t>
  </si>
  <si>
    <t>How expensive the stock is vs earnings — lower = cheaper</t>
  </si>
  <si>
    <t>P/S Ratio</t>
  </si>
  <si>
    <t>Market Cap ÷ Revenue</t>
  </si>
  <si>
    <t>How expensive the stock is vs sales — lower = cheaper</t>
  </si>
  <si>
    <t>EV/EBITDA</t>
  </si>
  <si>
    <t>Enterprise Value ÷ EBITDA</t>
  </si>
  <si>
    <t>Popular valuation multiple used by analysts and investors</t>
  </si>
  <si>
    <t>R&amp;D %</t>
  </si>
  <si>
    <t>R&amp;D Expense ÷ Revenue</t>
  </si>
  <si>
    <t>How much of revenue is reinvested in innovation and growth</t>
  </si>
  <si>
    <t>Working Capital</t>
  </si>
  <si>
    <t>Current Assets − Current Liabilities</t>
  </si>
  <si>
    <t>Short-term financial buffer available to run the business</t>
  </si>
  <si>
    <t>Operating Leverage</t>
  </si>
  <si>
    <t>Gross Profit ÷ Operating Income</t>
  </si>
  <si>
    <t>Shows how fixed costs affect profit as revenue changes</t>
  </si>
  <si>
    <t xml:space="preserve">  KEY INSIGHTS  </t>
  </si>
  <si>
    <t xml:space="preserve">  CALCULATED RATIOS </t>
  </si>
  <si>
    <t xml:space="preserve">  KEY RATIOS &amp; VALUATION MULTIPLES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</si>
</sst>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"/>
    <numFmt numFmtId="165" formatCode="0.0%"/>
    <numFmt numFmtId="166" formatCode="0.0\x"/>
    <numFmt numFmtId="167" formatCode="0.00\x"/>
    <numFmt numFmtId="168" formatCode="\$#,##0.00"/>
  </numFmts>
  <fonts count="20" x14ac:knownFonts="1">
    <font>
      <sz val="11"/>
      <color theme="1"/>
      <name val="Calibri"/>
      <family val="2"/>
      <scheme val="minor"/>
    </font>
    <font>
      <b/>
      <sz val="22"/>
      <color rgb="FF1F3864"/>
      <name val="Arial"/>
    </font>
    <font>
      <sz val="13"/>
      <color rgb="FF2E75B6"/>
      <name val="Arial"/>
    </font>
    <font>
      <sz val="11"/>
      <color rgb="FFCCCCCC"/>
      <name val="Calibri"/>
    </font>
    <font>
      <b/>
      <sz val="10"/>
      <color rgb="FFFFFFFF"/>
      <name val="Arial"/>
    </font>
    <font>
      <b/>
      <sz val="10"/>
      <color rgb="FF1F3864"/>
      <name val="Arial"/>
    </font>
    <font>
      <i/>
      <sz val="9"/>
      <color rgb="FF666666"/>
      <name val="Arial"/>
    </font>
    <font>
      <sz val="9"/>
      <name val="Arial"/>
    </font>
    <font>
      <b/>
      <sz val="14"/>
      <color rgb="FFFFFFFF"/>
      <name val="Arial"/>
    </font>
    <font>
      <i/>
      <sz val="8"/>
      <color rgb="FF666666"/>
      <name val="Arial"/>
    </font>
    <font>
      <b/>
      <sz val="9"/>
      <color rgb="FFFFFFFF"/>
      <name val="Arial"/>
    </font>
    <font>
      <sz val="11"/>
      <color rgb="FF0000FF"/>
      <name val="Arial"/>
    </font>
    <font>
      <b/>
      <sz val="9"/>
      <name val="Arial"/>
    </font>
    <font>
      <sz val="11"/>
      <color rgb="FF000000"/>
      <name val="Arial"/>
    </font>
    <font>
      <i/>
      <sz val="9"/>
      <name val="Arial"/>
    </font>
    <font>
      <b/>
      <sz val="9"/>
      <color rgb="FF375623"/>
      <name val="Arial"/>
    </font>
    <font>
      <i/>
      <sz val="8"/>
      <name val="Arial"/>
    </font>
    <font>
      <b/>
      <sz val="13"/>
      <color rgb="FF1F3864"/>
      <name val="Arial"/>
    </font>
    <font>
      <sz val="11"/>
      <color theme="0"/>
      <name val="Calibri"/>
      <family val="2"/>
      <scheme val="minor"/>
    </font>
    <font>
      <i/>
      <sz val="9"/>
      <color theme="0"/>
      <name val="Arial"/>
    </font>
  </fonts>
  <fills count="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375623"/>
      </patternFill>
    </fill>
    <fill>
      <patternFill patternType="solid">
        <fgColor rgb="FFDDEE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indent="1"/>
    </xf>
    <xf numFmtId="164" fontId="11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left" indent="1"/>
    </xf>
    <xf numFmtId="0" fontId="7" fillId="4" borderId="1" xfId="0" applyFont="1" applyFill="1" applyBorder="1" applyAlignment="1">
      <alignment horizontal="left" indent="1"/>
    </xf>
    <xf numFmtId="49" fontId="13" fillId="4" borderId="1" xfId="0" applyNumberFormat="1" applyFont="1" applyFill="1" applyBorder="1" applyAlignment="1">
      <alignment horizontal="right"/>
    </xf>
    <xf numFmtId="0" fontId="0" fillId="4" borderId="0" xfId="0" applyFill="1"/>
    <xf numFmtId="165" fontId="13" fillId="4" borderId="1" xfId="0" applyNumberFormat="1" applyFont="1" applyFill="1" applyBorder="1" applyAlignment="1">
      <alignment horizontal="right"/>
    </xf>
    <xf numFmtId="165" fontId="13" fillId="0" borderId="1" xfId="0" applyNumberFormat="1" applyFont="1" applyBorder="1" applyAlignment="1">
      <alignment horizontal="right"/>
    </xf>
    <xf numFmtId="166" fontId="13" fillId="4" borderId="1" xfId="0" applyNumberFormat="1" applyFont="1" applyFill="1" applyBorder="1" applyAlignment="1">
      <alignment horizontal="right"/>
    </xf>
    <xf numFmtId="167" fontId="13" fillId="4" borderId="1" xfId="0" applyNumberFormat="1" applyFont="1" applyFill="1" applyBorder="1" applyAlignment="1">
      <alignment horizontal="right"/>
    </xf>
    <xf numFmtId="0" fontId="10" fillId="6" borderId="1" xfId="0" applyFont="1" applyFill="1" applyBorder="1" applyAlignment="1">
      <alignment horizontal="center" vertical="center" wrapText="1"/>
    </xf>
    <xf numFmtId="168" fontId="11" fillId="0" borderId="1" xfId="0" applyNumberFormat="1" applyFont="1" applyBorder="1" applyAlignment="1">
      <alignment horizontal="right"/>
    </xf>
    <xf numFmtId="0" fontId="15" fillId="4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166" fontId="13" fillId="0" borderId="1" xfId="0" applyNumberFormat="1" applyFont="1" applyBorder="1" applyAlignment="1">
      <alignment horizontal="right"/>
    </xf>
    <xf numFmtId="164" fontId="13" fillId="0" borderId="1" xfId="0" applyNumberFormat="1" applyFont="1" applyBorder="1" applyAlignment="1">
      <alignment horizontal="right"/>
    </xf>
    <xf numFmtId="0" fontId="12" fillId="4" borderId="1" xfId="0" applyFont="1" applyFill="1" applyBorder="1" applyAlignment="1">
      <alignment horizontal="left" indent="1"/>
    </xf>
    <xf numFmtId="0" fontId="1" fillId="0" borderId="0" xfId="0" applyFont="1" applyAlignment="1">
      <alignment horizontal="left" vertical="center"/>
    </xf>
    <xf numFmtId="0" fontId="0" fillId="0" borderId="0" xfId="0"/>
    <xf numFmtId="0" fontId="7" fillId="0" borderId="0" xfId="0" applyFont="1" applyAlignment="1">
      <alignment horizontal="left" indent="1"/>
    </xf>
    <xf numFmtId="0" fontId="6" fillId="0" borderId="0" xfId="0" applyFont="1"/>
    <xf numFmtId="0" fontId="5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3" borderId="0" xfId="0" applyFont="1" applyFill="1" applyAlignment="1">
      <alignment horizontal="left" indent="1"/>
    </xf>
    <xf numFmtId="0" fontId="19" fillId="5" borderId="1" xfId="0" applyFont="1" applyFill="1" applyBorder="1" applyAlignment="1">
      <alignment horizontal="left" vertical="center" wrapText="1" indent="1"/>
    </xf>
    <xf numFmtId="0" fontId="18" fillId="0" borderId="0" xfId="0" applyFont="1"/>
    <xf numFmtId="0" fontId="7" fillId="4" borderId="1" xfId="0" applyFont="1" applyFill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indent="1"/>
    </xf>
    <xf numFmtId="0" fontId="9" fillId="0" borderId="0" xfId="0" applyFont="1" applyAlignment="1">
      <alignment horizontal="left"/>
    </xf>
    <xf numFmtId="0" fontId="8" fillId="3" borderId="0" xfId="0" applyFont="1" applyFill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9" fillId="0" borderId="0" xfId="0" applyFont="1"/>
    <xf numFmtId="0" fontId="1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Apple Revenue vs Net Income (FY2020-2024)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Charts_Apple!$C$3:$G$3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Charts_Apple!$C$4:$C$5</c:f>
              <c:numCache>
                <c:formatCode>#,##0.0</c:formatCode>
                <c:ptCount val="2"/>
                <c:pt idx="0">
                  <c:v>274.5</c:v>
                </c:pt>
                <c:pt idx="1">
                  <c:v>57.4</c:v>
                </c:pt>
              </c:numCache>
            </c:numRef>
          </c:val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strRef>
              <c:f>Charts_Apple!$C$3:$G$3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Charts_Apple!$D$4:$D$5</c:f>
              <c:numCache>
                <c:formatCode>#,##0.0</c:formatCode>
                <c:ptCount val="2"/>
                <c:pt idx="0">
                  <c:v>365.8</c:v>
                </c:pt>
                <c:pt idx="1">
                  <c:v>94.7</c:v>
                </c:pt>
              </c:numCache>
            </c:numRef>
          </c:val>
        </c:ser>
        <c:ser>
          <c:idx val="2"/>
          <c:order val="2"/>
          <c:spPr>
            <a:ln>
              <a:prstDash val="solid"/>
            </a:ln>
          </c:spPr>
          <c:invertIfNegative val="1"/>
          <c:cat>
            <c:strRef>
              <c:f>Charts_Apple!$C$3:$G$3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Charts_Apple!$E$4:$E$5</c:f>
              <c:numCache>
                <c:formatCode>#,##0.0</c:formatCode>
                <c:ptCount val="2"/>
                <c:pt idx="0">
                  <c:v>394.3</c:v>
                </c:pt>
                <c:pt idx="1">
                  <c:v>99.8</c:v>
                </c:pt>
              </c:numCache>
            </c:numRef>
          </c:val>
        </c:ser>
        <c:ser>
          <c:idx val="3"/>
          <c:order val="3"/>
          <c:spPr>
            <a:ln>
              <a:prstDash val="solid"/>
            </a:ln>
          </c:spPr>
          <c:invertIfNegative val="1"/>
          <c:cat>
            <c:strRef>
              <c:f>Charts_Apple!$C$3:$G$3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Charts_Apple!$F$4:$F$5</c:f>
              <c:numCache>
                <c:formatCode>#,##0.0</c:formatCode>
                <c:ptCount val="2"/>
                <c:pt idx="0">
                  <c:v>383.3</c:v>
                </c:pt>
                <c:pt idx="1">
                  <c:v>97</c:v>
                </c:pt>
              </c:numCache>
            </c:numRef>
          </c:val>
        </c:ser>
        <c:ser>
          <c:idx val="4"/>
          <c:order val="4"/>
          <c:spPr>
            <a:ln>
              <a:prstDash val="solid"/>
            </a:ln>
          </c:spPr>
          <c:invertIfNegative val="1"/>
          <c:cat>
            <c:strRef>
              <c:f>Charts_Apple!$C$3:$G$3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Charts_Apple!$G$4:$G$5</c:f>
              <c:numCache>
                <c:formatCode>#,##0.0</c:formatCode>
                <c:ptCount val="2"/>
                <c:pt idx="0">
                  <c:v>391</c:v>
                </c:pt>
                <c:pt idx="1">
                  <c:v>93.7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691008"/>
        <c:axId val="193693184"/>
      </c:barChart>
      <c:catAx>
        <c:axId val="193691008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Fiscal Year</a:t>
                </a:r>
              </a:p>
            </c:rich>
          </c:tx>
          <c:overlay val="1"/>
        </c:title>
        <c:majorTickMark val="none"/>
        <c:minorTickMark val="none"/>
        <c:tickLblPos val="nextTo"/>
        <c:crossAx val="193693184"/>
        <c:crosses val="autoZero"/>
        <c:auto val="1"/>
        <c:lblAlgn val="ctr"/>
        <c:lblOffset val="100"/>
        <c:noMultiLvlLbl val="1"/>
      </c:catAx>
      <c:valAx>
        <c:axId val="193693184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 Billions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93691008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Profit Margins Over Time (%)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Charts_Apple!$C$3:$G$3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Charts_Apple!$C$6:$C$7</c:f>
              <c:numCache>
                <c:formatCode>0.0%</c:formatCode>
                <c:ptCount val="2"/>
                <c:pt idx="0">
                  <c:v>0.38200000000000001</c:v>
                </c:pt>
                <c:pt idx="1">
                  <c:v>0.20899999999999999</c:v>
                </c:pt>
              </c:numCache>
            </c:numRef>
          </c:val>
          <c:smooth val="1"/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Charts_Apple!$C$3:$G$3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Charts_Apple!$D$6:$D$7</c:f>
              <c:numCache>
                <c:formatCode>0.0%</c:formatCode>
                <c:ptCount val="2"/>
                <c:pt idx="0">
                  <c:v>0.41799999999999998</c:v>
                </c:pt>
                <c:pt idx="1">
                  <c:v>0.25900000000000001</c:v>
                </c:pt>
              </c:numCache>
            </c:numRef>
          </c:val>
          <c:smooth val="1"/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Charts_Apple!$C$3:$G$3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Charts_Apple!$E$6:$E$7</c:f>
              <c:numCache>
                <c:formatCode>0.0%</c:formatCode>
                <c:ptCount val="2"/>
                <c:pt idx="0">
                  <c:v>0.433</c:v>
                </c:pt>
                <c:pt idx="1">
                  <c:v>0.253</c:v>
                </c:pt>
              </c:numCache>
            </c:numRef>
          </c:val>
          <c:smooth val="1"/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Charts_Apple!$C$3:$G$3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Charts_Apple!$F$6:$F$7</c:f>
              <c:numCache>
                <c:formatCode>0.0%</c:formatCode>
                <c:ptCount val="2"/>
                <c:pt idx="0">
                  <c:v>0.441</c:v>
                </c:pt>
                <c:pt idx="1">
                  <c:v>0.253</c:v>
                </c:pt>
              </c:numCache>
            </c:numRef>
          </c:val>
          <c:smooth val="1"/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Charts_Apple!$C$3:$G$3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Charts_Apple!$G$6:$G$7</c:f>
              <c:numCache>
                <c:formatCode>0.0%</c:formatCode>
                <c:ptCount val="2"/>
                <c:pt idx="0">
                  <c:v>0.46200000000000002</c:v>
                </c:pt>
                <c:pt idx="1">
                  <c:v>0.24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610880"/>
        <c:axId val="193612800"/>
      </c:lineChart>
      <c:catAx>
        <c:axId val="19361088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Fiscal Year</a:t>
                </a:r>
              </a:p>
            </c:rich>
          </c:tx>
          <c:overlay val="1"/>
        </c:title>
        <c:majorTickMark val="none"/>
        <c:minorTickMark val="none"/>
        <c:tickLblPos val="nextTo"/>
        <c:crossAx val="193612800"/>
        <c:crosses val="autoZero"/>
        <c:auto val="1"/>
        <c:lblAlgn val="ctr"/>
        <c:lblOffset val="100"/>
        <c:noMultiLvlLbl val="1"/>
      </c:catAx>
      <c:valAx>
        <c:axId val="1936128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9361088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Comparison FY2024 ($B)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Charts_PeerComparison!$C$3:$E$3</c:f>
              <c:strCache>
                <c:ptCount val="3"/>
                <c:pt idx="0">
                  <c:v>Apple</c:v>
                </c:pt>
                <c:pt idx="1">
                  <c:v>Microsoft</c:v>
                </c:pt>
                <c:pt idx="2">
                  <c:v>Alphabet</c:v>
                </c:pt>
              </c:strCache>
            </c:strRef>
          </c:cat>
          <c:val>
            <c:numRef>
              <c:f>Charts_PeerComparison!$C$4:$C$5</c:f>
              <c:numCache>
                <c:formatCode>#,##0.0</c:formatCode>
                <c:ptCount val="2"/>
                <c:pt idx="0">
                  <c:v>391</c:v>
                </c:pt>
                <c:pt idx="1">
                  <c:v>93.7</c:v>
                </c:pt>
              </c:numCache>
            </c:numRef>
          </c:val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strRef>
              <c:f>Charts_PeerComparison!$C$3:$E$3</c:f>
              <c:strCache>
                <c:ptCount val="3"/>
                <c:pt idx="0">
                  <c:v>Apple</c:v>
                </c:pt>
                <c:pt idx="1">
                  <c:v>Microsoft</c:v>
                </c:pt>
                <c:pt idx="2">
                  <c:v>Alphabet</c:v>
                </c:pt>
              </c:strCache>
            </c:strRef>
          </c:cat>
          <c:val>
            <c:numRef>
              <c:f>Charts_PeerComparison!$D$4:$D$5</c:f>
              <c:numCache>
                <c:formatCode>#,##0.0</c:formatCode>
                <c:ptCount val="2"/>
                <c:pt idx="0">
                  <c:v>245.1</c:v>
                </c:pt>
                <c:pt idx="1">
                  <c:v>88.1</c:v>
                </c:pt>
              </c:numCache>
            </c:numRef>
          </c:val>
        </c:ser>
        <c:ser>
          <c:idx val="2"/>
          <c:order val="2"/>
          <c:spPr>
            <a:ln>
              <a:prstDash val="solid"/>
            </a:ln>
          </c:spPr>
          <c:invertIfNegative val="1"/>
          <c:cat>
            <c:strRef>
              <c:f>Charts_PeerComparison!$C$3:$E$3</c:f>
              <c:strCache>
                <c:ptCount val="3"/>
                <c:pt idx="0">
                  <c:v>Apple</c:v>
                </c:pt>
                <c:pt idx="1">
                  <c:v>Microsoft</c:v>
                </c:pt>
                <c:pt idx="2">
                  <c:v>Alphabet</c:v>
                </c:pt>
              </c:strCache>
            </c:strRef>
          </c:cat>
          <c:val>
            <c:numRef>
              <c:f>Charts_PeerComparison!$E$4:$E$5</c:f>
              <c:numCache>
                <c:formatCode>#,##0.0</c:formatCode>
                <c:ptCount val="2"/>
                <c:pt idx="0">
                  <c:v>350</c:v>
                </c:pt>
                <c:pt idx="1">
                  <c:v>73.8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939520"/>
        <c:axId val="192941056"/>
      </c:barChart>
      <c:catAx>
        <c:axId val="19293952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2941056"/>
        <c:crosses val="autoZero"/>
        <c:auto val="1"/>
        <c:lblAlgn val="ctr"/>
        <c:lblOffset val="100"/>
        <c:noMultiLvlLbl val="1"/>
      </c:catAx>
      <c:valAx>
        <c:axId val="192941056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 Billions</a:t>
                </a:r>
              </a:p>
            </c:rich>
          </c:tx>
          <c:layout/>
          <c:overlay val="1"/>
        </c:title>
        <c:numFmt formatCode="#,##0.0" sourceLinked="1"/>
        <c:majorTickMark val="none"/>
        <c:minorTickMark val="none"/>
        <c:tickLblPos val="nextTo"/>
        <c:crossAx val="19293952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Profit Margins Comparison FY2024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Charts_PeerComparison!$C$3:$E$3</c:f>
              <c:strCache>
                <c:ptCount val="3"/>
                <c:pt idx="0">
                  <c:v>Apple</c:v>
                </c:pt>
                <c:pt idx="1">
                  <c:v>Microsoft</c:v>
                </c:pt>
                <c:pt idx="2">
                  <c:v>Alphabet</c:v>
                </c:pt>
              </c:strCache>
            </c:strRef>
          </c:cat>
          <c:val>
            <c:numRef>
              <c:f>Charts_PeerComparison!$C$6:$C$7</c:f>
              <c:numCache>
                <c:formatCode>0.0%</c:formatCode>
                <c:ptCount val="2"/>
                <c:pt idx="0">
                  <c:v>0.46200000000000002</c:v>
                </c:pt>
                <c:pt idx="1">
                  <c:v>0.24</c:v>
                </c:pt>
              </c:numCache>
            </c:numRef>
          </c:val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strRef>
              <c:f>Charts_PeerComparison!$C$3:$E$3</c:f>
              <c:strCache>
                <c:ptCount val="3"/>
                <c:pt idx="0">
                  <c:v>Apple</c:v>
                </c:pt>
                <c:pt idx="1">
                  <c:v>Microsoft</c:v>
                </c:pt>
                <c:pt idx="2">
                  <c:v>Alphabet</c:v>
                </c:pt>
              </c:strCache>
            </c:strRef>
          </c:cat>
          <c:val>
            <c:numRef>
              <c:f>Charts_PeerComparison!$D$6:$D$7</c:f>
              <c:numCache>
                <c:formatCode>0.0%</c:formatCode>
                <c:ptCount val="2"/>
                <c:pt idx="0">
                  <c:v>0.80300000000000005</c:v>
                </c:pt>
                <c:pt idx="1">
                  <c:v>0.35899999999999999</c:v>
                </c:pt>
              </c:numCache>
            </c:numRef>
          </c:val>
        </c:ser>
        <c:ser>
          <c:idx val="2"/>
          <c:order val="2"/>
          <c:spPr>
            <a:ln>
              <a:prstDash val="solid"/>
            </a:ln>
          </c:spPr>
          <c:invertIfNegative val="1"/>
          <c:cat>
            <c:strRef>
              <c:f>Charts_PeerComparison!$C$3:$E$3</c:f>
              <c:strCache>
                <c:ptCount val="3"/>
                <c:pt idx="0">
                  <c:v>Apple</c:v>
                </c:pt>
                <c:pt idx="1">
                  <c:v>Microsoft</c:v>
                </c:pt>
                <c:pt idx="2">
                  <c:v>Alphabet</c:v>
                </c:pt>
              </c:strCache>
            </c:strRef>
          </c:cat>
          <c:val>
            <c:numRef>
              <c:f>Charts_PeerComparison!$E$6:$E$7</c:f>
              <c:numCache>
                <c:formatCode>0.0%</c:formatCode>
                <c:ptCount val="2"/>
                <c:pt idx="0">
                  <c:v>0.63400000000000001</c:v>
                </c:pt>
                <c:pt idx="1">
                  <c:v>0.21099999999999999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586304"/>
        <c:axId val="193587840"/>
      </c:barChart>
      <c:catAx>
        <c:axId val="193586304"/>
        <c:scaling>
          <c:orientation val="minMax"/>
        </c:scaling>
        <c:delete val="1"/>
        <c:axPos val="b"/>
        <c:majorTickMark val="none"/>
        <c:minorTickMark val="none"/>
        <c:tickLblPos val="nextTo"/>
        <c:crossAx val="193587840"/>
        <c:crosses val="autoZero"/>
        <c:auto val="1"/>
        <c:lblAlgn val="ctr"/>
        <c:lblOffset val="100"/>
        <c:noMultiLvlLbl val="1"/>
      </c:catAx>
      <c:valAx>
        <c:axId val="19358784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  <c:overlay val="1"/>
        </c:title>
        <c:numFmt formatCode="0.0%" sourceLinked="1"/>
        <c:majorTickMark val="none"/>
        <c:minorTickMark val="none"/>
        <c:tickLblPos val="nextTo"/>
        <c:crossAx val="193586304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P/E Ratio Comparison FY2024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Charts_PeerComparison!$C$3:$E$3</c:f>
              <c:strCache>
                <c:ptCount val="3"/>
                <c:pt idx="0">
                  <c:v>Apple</c:v>
                </c:pt>
                <c:pt idx="1">
                  <c:v>Microsoft</c:v>
                </c:pt>
                <c:pt idx="2">
                  <c:v>Alphabet</c:v>
                </c:pt>
              </c:strCache>
            </c:strRef>
          </c:cat>
          <c:val>
            <c:numRef>
              <c:f>Charts_PeerComparison!$C$9</c:f>
              <c:numCache>
                <c:formatCode>0.0\x</c:formatCode>
                <c:ptCount val="1"/>
                <c:pt idx="0">
                  <c:v>37.4</c:v>
                </c:pt>
              </c:numCache>
            </c:numRef>
          </c:val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strRef>
              <c:f>Charts_PeerComparison!$C$3:$E$3</c:f>
              <c:strCache>
                <c:ptCount val="3"/>
                <c:pt idx="0">
                  <c:v>Apple</c:v>
                </c:pt>
                <c:pt idx="1">
                  <c:v>Microsoft</c:v>
                </c:pt>
                <c:pt idx="2">
                  <c:v>Alphabet</c:v>
                </c:pt>
              </c:strCache>
            </c:strRef>
          </c:cat>
          <c:val>
            <c:numRef>
              <c:f>Charts_PeerComparison!$D$9</c:f>
              <c:numCache>
                <c:formatCode>0.0\x</c:formatCode>
                <c:ptCount val="1"/>
                <c:pt idx="0">
                  <c:v>35.200000000000003</c:v>
                </c:pt>
              </c:numCache>
            </c:numRef>
          </c:val>
        </c:ser>
        <c:ser>
          <c:idx val="2"/>
          <c:order val="2"/>
          <c:spPr>
            <a:ln>
              <a:prstDash val="solid"/>
            </a:ln>
          </c:spPr>
          <c:invertIfNegative val="1"/>
          <c:cat>
            <c:strRef>
              <c:f>Charts_PeerComparison!$C$3:$E$3</c:f>
              <c:strCache>
                <c:ptCount val="3"/>
                <c:pt idx="0">
                  <c:v>Apple</c:v>
                </c:pt>
                <c:pt idx="1">
                  <c:v>Microsoft</c:v>
                </c:pt>
                <c:pt idx="2">
                  <c:v>Alphabet</c:v>
                </c:pt>
              </c:strCache>
            </c:strRef>
          </c:cat>
          <c:val>
            <c:numRef>
              <c:f>Charts_PeerComparison!$E$9</c:f>
              <c:numCache>
                <c:formatCode>0.0\x</c:formatCode>
                <c:ptCount val="1"/>
                <c:pt idx="0">
                  <c:v>31.2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257664"/>
        <c:axId val="194259200"/>
      </c:barChart>
      <c:catAx>
        <c:axId val="194257664"/>
        <c:scaling>
          <c:orientation val="minMax"/>
        </c:scaling>
        <c:delete val="1"/>
        <c:axPos val="b"/>
        <c:majorTickMark val="none"/>
        <c:minorTickMark val="none"/>
        <c:tickLblPos val="nextTo"/>
        <c:crossAx val="194259200"/>
        <c:crosses val="autoZero"/>
        <c:auto val="1"/>
        <c:lblAlgn val="ctr"/>
        <c:lblOffset val="100"/>
        <c:noMultiLvlLbl val="1"/>
      </c:catAx>
      <c:valAx>
        <c:axId val="1942592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P/E (x)</a:t>
                </a:r>
              </a:p>
            </c:rich>
          </c:tx>
          <c:layout/>
          <c:overlay val="1"/>
        </c:title>
        <c:numFmt formatCode="0.0\x" sourceLinked="1"/>
        <c:majorTickMark val="none"/>
        <c:minorTickMark val="none"/>
        <c:tickLblPos val="nextTo"/>
        <c:crossAx val="194257664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0</xdr:rowOff>
    </xdr:from>
    <xdr:ext cx="6480000" cy="43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11</xdr:row>
      <xdr:rowOff>0</xdr:rowOff>
    </xdr:from>
    <xdr:ext cx="6480000" cy="432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5760000" cy="39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13</xdr:row>
      <xdr:rowOff>0</xdr:rowOff>
    </xdr:from>
    <xdr:ext cx="5760000" cy="396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39</xdr:row>
      <xdr:rowOff>0</xdr:rowOff>
    </xdr:from>
    <xdr:ext cx="5760000" cy="396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20"/>
  <sheetViews>
    <sheetView showGridLines="0" workbookViewId="0">
      <selection activeCell="B3" sqref="B3:E3"/>
    </sheetView>
  </sheetViews>
  <sheetFormatPr defaultRowHeight="15" x14ac:dyDescent="0.25"/>
  <cols>
    <col min="1" max="1" width="4" customWidth="1"/>
    <col min="2" max="2" width="40" customWidth="1"/>
    <col min="3" max="3" width="30" customWidth="1"/>
  </cols>
  <sheetData>
    <row r="3" spans="2:5" ht="60" customHeight="1" x14ac:dyDescent="0.25">
      <c r="B3" s="20" t="s">
        <v>0</v>
      </c>
      <c r="C3" s="21"/>
      <c r="D3" s="21"/>
      <c r="E3" s="21"/>
    </row>
    <row r="4" spans="2:5" ht="27.95" customHeight="1" x14ac:dyDescent="0.25">
      <c r="B4" s="25"/>
      <c r="C4" s="21"/>
      <c r="D4" s="21"/>
      <c r="E4" s="21"/>
    </row>
    <row r="6" spans="2:5" ht="20.100000000000001" customHeight="1" x14ac:dyDescent="0.25">
      <c r="B6" s="26" t="s">
        <v>1</v>
      </c>
      <c r="C6" s="21"/>
      <c r="D6" s="21"/>
      <c r="E6" s="21"/>
    </row>
    <row r="8" spans="2:5" ht="21.95" customHeight="1" x14ac:dyDescent="0.25">
      <c r="B8" s="1" t="s">
        <v>2</v>
      </c>
      <c r="C8" s="24" t="s">
        <v>3</v>
      </c>
      <c r="D8" s="21"/>
      <c r="E8" s="21"/>
    </row>
    <row r="9" spans="2:5" ht="18" customHeight="1" x14ac:dyDescent="0.25">
      <c r="C9" s="23" t="s">
        <v>4</v>
      </c>
      <c r="D9" s="21"/>
      <c r="E9" s="21"/>
    </row>
    <row r="11" spans="2:5" ht="21.95" customHeight="1" x14ac:dyDescent="0.25">
      <c r="B11" s="1" t="s">
        <v>5</v>
      </c>
      <c r="C11" s="24" t="s">
        <v>6</v>
      </c>
      <c r="D11" s="21"/>
      <c r="E11" s="21"/>
    </row>
    <row r="12" spans="2:5" ht="18" customHeight="1" x14ac:dyDescent="0.25">
      <c r="C12" s="23" t="s">
        <v>7</v>
      </c>
      <c r="D12" s="21"/>
      <c r="E12" s="21"/>
    </row>
    <row r="15" spans="2:5" ht="18" customHeight="1" x14ac:dyDescent="0.25">
      <c r="B15" s="27"/>
      <c r="C15" s="21"/>
      <c r="D15" s="21"/>
      <c r="E15" s="21"/>
    </row>
    <row r="16" spans="2:5" ht="15.95" customHeight="1" x14ac:dyDescent="0.25">
      <c r="B16" s="22"/>
      <c r="C16" s="21"/>
      <c r="D16" s="21"/>
      <c r="E16" s="21"/>
    </row>
    <row r="17" spans="2:5" ht="15.95" customHeight="1" x14ac:dyDescent="0.25">
      <c r="B17" s="22"/>
      <c r="C17" s="21"/>
      <c r="D17" s="21"/>
      <c r="E17" s="21"/>
    </row>
    <row r="18" spans="2:5" ht="15.95" customHeight="1" x14ac:dyDescent="0.25">
      <c r="B18" s="22"/>
      <c r="C18" s="21"/>
      <c r="D18" s="21"/>
      <c r="E18" s="21"/>
    </row>
    <row r="19" spans="2:5" ht="15.95" customHeight="1" x14ac:dyDescent="0.25">
      <c r="B19" s="22"/>
      <c r="C19" s="21"/>
      <c r="D19" s="21"/>
      <c r="E19" s="21"/>
    </row>
    <row r="20" spans="2:5" ht="15.95" customHeight="1" x14ac:dyDescent="0.25">
      <c r="B20" s="22"/>
      <c r="C20" s="21"/>
      <c r="D20" s="21"/>
      <c r="E20" s="21"/>
    </row>
  </sheetData>
  <mergeCells count="13">
    <mergeCell ref="B3:E3"/>
    <mergeCell ref="B19:E19"/>
    <mergeCell ref="B20:E20"/>
    <mergeCell ref="C12:E12"/>
    <mergeCell ref="B17:E17"/>
    <mergeCell ref="B18:E18"/>
    <mergeCell ref="C11:E11"/>
    <mergeCell ref="B4:E4"/>
    <mergeCell ref="B6:E6"/>
    <mergeCell ref="C8:E8"/>
    <mergeCell ref="C9:E9"/>
    <mergeCell ref="B15:E15"/>
    <mergeCell ref="B16:E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showGridLines="0" topLeftCell="A19" workbookViewId="0">
      <selection activeCell="B2" sqref="B2:G2"/>
    </sheetView>
  </sheetViews>
  <sheetFormatPr defaultRowHeight="15" x14ac:dyDescent="0.25"/>
  <cols>
    <col min="1" max="1" width="3" customWidth="1"/>
    <col min="2" max="2" width="34" customWidth="1"/>
    <col min="3" max="7" width="12" customWidth="1"/>
  </cols>
  <sheetData>
    <row r="1" spans="1:7" ht="27.95" customHeight="1" x14ac:dyDescent="0.25">
      <c r="A1" s="34" t="s">
        <v>8</v>
      </c>
      <c r="B1" s="21"/>
      <c r="C1" s="21"/>
      <c r="D1" s="21"/>
      <c r="E1" s="21"/>
      <c r="F1" s="21"/>
      <c r="G1" s="21"/>
    </row>
    <row r="2" spans="1:7" x14ac:dyDescent="0.25">
      <c r="B2" s="33"/>
      <c r="C2" s="21"/>
      <c r="D2" s="21"/>
      <c r="E2" s="21"/>
      <c r="F2" s="21"/>
      <c r="G2" s="21"/>
    </row>
    <row r="3" spans="1:7" ht="20.100000000000001" customHeight="1" x14ac:dyDescent="0.25"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18" customHeight="1" x14ac:dyDescent="0.25">
      <c r="A4" s="32" t="s">
        <v>15</v>
      </c>
      <c r="B4" s="21"/>
      <c r="C4" s="21"/>
      <c r="D4" s="21"/>
      <c r="E4" s="21"/>
      <c r="F4" s="21"/>
      <c r="G4" s="21"/>
    </row>
    <row r="5" spans="1:7" ht="15.95" customHeight="1" x14ac:dyDescent="0.25">
      <c r="B5" s="3" t="s">
        <v>16</v>
      </c>
      <c r="C5" s="4">
        <v>274.5</v>
      </c>
      <c r="D5" s="4">
        <v>365.8</v>
      </c>
      <c r="E5" s="4">
        <v>394.3</v>
      </c>
      <c r="F5" s="4">
        <v>383.3</v>
      </c>
      <c r="G5" s="4">
        <v>391</v>
      </c>
    </row>
    <row r="6" spans="1:7" ht="15.95" customHeight="1" x14ac:dyDescent="0.25">
      <c r="B6" s="3" t="s">
        <v>17</v>
      </c>
      <c r="C6" s="4">
        <v>104.9</v>
      </c>
      <c r="D6" s="4">
        <v>152.80000000000001</v>
      </c>
      <c r="E6" s="4">
        <v>170.8</v>
      </c>
      <c r="F6" s="4">
        <v>169.1</v>
      </c>
      <c r="G6" s="4">
        <v>180.7</v>
      </c>
    </row>
    <row r="7" spans="1:7" ht="15.95" customHeight="1" x14ac:dyDescent="0.25">
      <c r="B7" s="3" t="s">
        <v>18</v>
      </c>
      <c r="C7" s="4">
        <v>66.3</v>
      </c>
      <c r="D7" s="4">
        <v>108.9</v>
      </c>
      <c r="E7" s="4">
        <v>119.4</v>
      </c>
      <c r="F7" s="4">
        <v>114.3</v>
      </c>
      <c r="G7" s="4">
        <v>123.2</v>
      </c>
    </row>
    <row r="8" spans="1:7" ht="15.95" customHeight="1" x14ac:dyDescent="0.25">
      <c r="B8" s="3" t="s">
        <v>19</v>
      </c>
      <c r="C8" s="4">
        <v>57.4</v>
      </c>
      <c r="D8" s="4">
        <v>94.7</v>
      </c>
      <c r="E8" s="4">
        <v>99.8</v>
      </c>
      <c r="F8" s="4">
        <v>97</v>
      </c>
      <c r="G8" s="4">
        <v>93.7</v>
      </c>
    </row>
    <row r="9" spans="1:7" ht="15.95" customHeight="1" x14ac:dyDescent="0.25">
      <c r="B9" s="3" t="s">
        <v>20</v>
      </c>
      <c r="C9" s="4">
        <v>3.28</v>
      </c>
      <c r="D9" s="4">
        <v>5.61</v>
      </c>
      <c r="E9" s="4">
        <v>6.11</v>
      </c>
      <c r="F9" s="4">
        <v>6.13</v>
      </c>
      <c r="G9" s="4">
        <v>6.08</v>
      </c>
    </row>
    <row r="10" spans="1:7" ht="18" customHeight="1" x14ac:dyDescent="0.25">
      <c r="A10" s="32" t="s">
        <v>21</v>
      </c>
      <c r="B10" s="21"/>
      <c r="C10" s="21"/>
      <c r="D10" s="21"/>
      <c r="E10" s="21"/>
      <c r="F10" s="21"/>
      <c r="G10" s="21"/>
    </row>
    <row r="11" spans="1:7" ht="15.95" customHeight="1" x14ac:dyDescent="0.25">
      <c r="B11" s="3" t="s">
        <v>22</v>
      </c>
      <c r="C11" s="4">
        <v>323.89999999999998</v>
      </c>
      <c r="D11" s="4">
        <v>351</v>
      </c>
      <c r="E11" s="4">
        <v>352.8</v>
      </c>
      <c r="F11" s="4">
        <v>352.6</v>
      </c>
      <c r="G11" s="4">
        <v>364.9</v>
      </c>
    </row>
    <row r="12" spans="1:7" ht="15.95" customHeight="1" x14ac:dyDescent="0.25">
      <c r="B12" s="3" t="s">
        <v>23</v>
      </c>
      <c r="C12" s="4">
        <v>143.69999999999999</v>
      </c>
      <c r="D12" s="4">
        <v>134.80000000000001</v>
      </c>
      <c r="E12" s="4">
        <v>135.4</v>
      </c>
      <c r="F12" s="4">
        <v>143.6</v>
      </c>
      <c r="G12" s="4">
        <v>152.9</v>
      </c>
    </row>
    <row r="13" spans="1:7" ht="15.95" customHeight="1" x14ac:dyDescent="0.25">
      <c r="B13" s="3" t="s">
        <v>24</v>
      </c>
      <c r="C13" s="4">
        <v>105.4</v>
      </c>
      <c r="D13" s="4">
        <v>125.5</v>
      </c>
      <c r="E13" s="4">
        <v>153.9</v>
      </c>
      <c r="F13" s="4">
        <v>145.30000000000001</v>
      </c>
      <c r="G13" s="4">
        <v>176.4</v>
      </c>
    </row>
    <row r="14" spans="1:7" ht="15.95" customHeight="1" x14ac:dyDescent="0.25">
      <c r="B14" s="3" t="s">
        <v>25</v>
      </c>
      <c r="C14" s="4">
        <v>65.3</v>
      </c>
      <c r="D14" s="4">
        <v>63.1</v>
      </c>
      <c r="E14" s="4">
        <v>50.7</v>
      </c>
      <c r="F14" s="4">
        <v>62.1</v>
      </c>
      <c r="G14" s="4">
        <v>57</v>
      </c>
    </row>
    <row r="15" spans="1:7" ht="15.95" customHeight="1" x14ac:dyDescent="0.25">
      <c r="B15" s="3" t="s">
        <v>26</v>
      </c>
      <c r="C15" s="4">
        <v>112.4</v>
      </c>
      <c r="D15" s="4">
        <v>124.7</v>
      </c>
      <c r="E15" s="4">
        <v>120.1</v>
      </c>
      <c r="F15" s="4">
        <v>111.1</v>
      </c>
      <c r="G15" s="4">
        <v>101.3</v>
      </c>
    </row>
    <row r="17" spans="1:8" ht="18" customHeight="1" x14ac:dyDescent="0.25">
      <c r="A17" s="32" t="s">
        <v>147</v>
      </c>
      <c r="B17" s="21"/>
      <c r="C17" s="21"/>
      <c r="D17" s="21"/>
      <c r="E17" s="21"/>
      <c r="F17" s="21"/>
      <c r="G17" s="21"/>
    </row>
    <row r="18" spans="1:8" ht="27.95" customHeight="1" x14ac:dyDescent="0.25">
      <c r="B18" s="5" t="s">
        <v>27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14</v>
      </c>
    </row>
    <row r="19" spans="1:8" ht="15.95" customHeight="1" x14ac:dyDescent="0.25">
      <c r="B19" s="6" t="s">
        <v>28</v>
      </c>
      <c r="C19" s="7" t="s">
        <v>29</v>
      </c>
      <c r="D19" s="8"/>
      <c r="E19" s="9">
        <f>(D5-C5)/C5</f>
        <v>0.33260473588342443</v>
      </c>
      <c r="F19" s="9">
        <f>(E5-D5)/D5</f>
        <v>7.7911427009294695E-2</v>
      </c>
      <c r="G19" s="9">
        <f>(F5-E5)/E5</f>
        <v>-2.7897539944204918E-2</v>
      </c>
      <c r="H19" s="10">
        <f>(G5-F5)/F5</f>
        <v>2.0088703365510014E-2</v>
      </c>
    </row>
    <row r="20" spans="1:8" ht="15.95" customHeight="1" x14ac:dyDescent="0.25">
      <c r="B20" s="6" t="s">
        <v>30</v>
      </c>
      <c r="C20" s="9">
        <f>C6/C5</f>
        <v>0.38214936247723136</v>
      </c>
      <c r="D20" s="9">
        <f>D6/D5</f>
        <v>0.41771459814106071</v>
      </c>
      <c r="E20" s="9">
        <f>E6/E5</f>
        <v>0.43317271113365458</v>
      </c>
      <c r="F20" s="9">
        <f>F6/F5</f>
        <v>0.44116879728672054</v>
      </c>
      <c r="G20" s="9">
        <f>G6/G5</f>
        <v>0.4621483375959079</v>
      </c>
    </row>
    <row r="21" spans="1:8" ht="15.95" customHeight="1" x14ac:dyDescent="0.25">
      <c r="B21" s="6" t="s">
        <v>31</v>
      </c>
      <c r="C21" s="9">
        <f>C8/C5</f>
        <v>0.20910746812386155</v>
      </c>
      <c r="D21" s="9">
        <f>D8/D5</f>
        <v>0.25888463641334064</v>
      </c>
      <c r="E21" s="9">
        <f>E8/E5</f>
        <v>0.25310677149378646</v>
      </c>
      <c r="F21" s="9">
        <f>F8/F5</f>
        <v>0.25306548395512651</v>
      </c>
      <c r="G21" s="9">
        <f>G8/G5</f>
        <v>0.23964194373401534</v>
      </c>
    </row>
    <row r="22" spans="1:8" ht="15.95" customHeight="1" x14ac:dyDescent="0.25">
      <c r="B22" s="6" t="s">
        <v>32</v>
      </c>
      <c r="C22" s="9">
        <f>C8/C14</f>
        <v>0.87901990811638597</v>
      </c>
      <c r="D22" s="9">
        <f>D8/D14</f>
        <v>1.5007923930269413</v>
      </c>
      <c r="E22" s="9">
        <f>E8/E14</f>
        <v>1.9684418145956606</v>
      </c>
      <c r="F22" s="9">
        <f>F8/F14</f>
        <v>1.5619967793880838</v>
      </c>
      <c r="G22" s="9">
        <f>G8/G14</f>
        <v>1.643859649122807</v>
      </c>
    </row>
    <row r="23" spans="1:8" ht="15.95" customHeight="1" x14ac:dyDescent="0.25">
      <c r="B23" s="6" t="s">
        <v>33</v>
      </c>
      <c r="C23" s="11">
        <f>C15/C14</f>
        <v>1.7212863705972437</v>
      </c>
      <c r="D23" s="11">
        <f>D15/D14</f>
        <v>1.9762282091917591</v>
      </c>
      <c r="E23" s="11">
        <f>E15/E14</f>
        <v>2.3688362919132149</v>
      </c>
      <c r="F23" s="11">
        <f>F15/F14</f>
        <v>1.789049919484702</v>
      </c>
      <c r="G23" s="11">
        <f>G15/G14</f>
        <v>1.7771929824561403</v>
      </c>
    </row>
    <row r="24" spans="1:8" ht="15.95" customHeight="1" x14ac:dyDescent="0.25">
      <c r="B24" s="6" t="s">
        <v>34</v>
      </c>
      <c r="C24" s="12">
        <f>C12/C13</f>
        <v>1.3633776091081593</v>
      </c>
      <c r="D24" s="12">
        <f>D12/D13</f>
        <v>1.0741035856573706</v>
      </c>
      <c r="E24" s="12">
        <f>E12/E13</f>
        <v>0.87979207277452887</v>
      </c>
      <c r="F24" s="12">
        <f>F12/F13</f>
        <v>0.98830006882312449</v>
      </c>
      <c r="G24" s="12">
        <f>G12/G13</f>
        <v>0.8667800453514739</v>
      </c>
    </row>
    <row r="26" spans="1:8" ht="18" customHeight="1" x14ac:dyDescent="0.25">
      <c r="A26" s="32" t="s">
        <v>146</v>
      </c>
      <c r="B26" s="21"/>
      <c r="C26" s="21"/>
      <c r="D26" s="21"/>
      <c r="E26" s="21"/>
      <c r="F26" s="21"/>
      <c r="G26" s="21"/>
    </row>
    <row r="27" spans="1:8" ht="30" customHeight="1" x14ac:dyDescent="0.25">
      <c r="B27" s="31" t="s">
        <v>35</v>
      </c>
      <c r="C27" s="21"/>
      <c r="D27" s="21"/>
      <c r="E27" s="21"/>
      <c r="F27" s="21"/>
      <c r="G27" s="21"/>
    </row>
    <row r="28" spans="1:8" ht="30" customHeight="1" x14ac:dyDescent="0.25">
      <c r="B28" s="30" t="s">
        <v>36</v>
      </c>
      <c r="C28" s="21"/>
      <c r="D28" s="21"/>
      <c r="E28" s="21"/>
      <c r="F28" s="21"/>
      <c r="G28" s="21"/>
    </row>
    <row r="29" spans="1:8" ht="30" customHeight="1" x14ac:dyDescent="0.25">
      <c r="B29" s="31" t="s">
        <v>37</v>
      </c>
      <c r="C29" s="21"/>
      <c r="D29" s="21"/>
      <c r="E29" s="21"/>
      <c r="F29" s="21"/>
      <c r="G29" s="21"/>
    </row>
    <row r="30" spans="1:8" ht="30" customHeight="1" x14ac:dyDescent="0.25">
      <c r="B30" s="30" t="s">
        <v>38</v>
      </c>
      <c r="C30" s="21"/>
      <c r="D30" s="21"/>
      <c r="E30" s="21"/>
      <c r="F30" s="21"/>
      <c r="G30" s="21"/>
    </row>
    <row r="31" spans="1:8" ht="30" customHeight="1" x14ac:dyDescent="0.25">
      <c r="B31" s="31" t="s">
        <v>39</v>
      </c>
      <c r="C31" s="21"/>
      <c r="D31" s="21"/>
      <c r="E31" s="21"/>
      <c r="F31" s="21"/>
      <c r="G31" s="21"/>
    </row>
    <row r="32" spans="1:8" ht="30" customHeight="1" x14ac:dyDescent="0.25">
      <c r="B32" s="30" t="s">
        <v>40</v>
      </c>
      <c r="C32" s="21"/>
      <c r="D32" s="21"/>
      <c r="E32" s="21"/>
      <c r="F32" s="21"/>
      <c r="G32" s="21"/>
    </row>
    <row r="34" spans="1:7" ht="18" customHeight="1" x14ac:dyDescent="0.25">
      <c r="A34" s="32"/>
      <c r="B34" s="21"/>
      <c r="C34" s="21"/>
      <c r="D34" s="21"/>
      <c r="E34" s="21"/>
      <c r="F34" s="21"/>
      <c r="G34" s="21"/>
    </row>
    <row r="35" spans="1:7" ht="54.95" customHeight="1" x14ac:dyDescent="0.25">
      <c r="B35" s="28"/>
      <c r="C35" s="29"/>
      <c r="D35" s="29"/>
      <c r="E35" s="29"/>
      <c r="F35" s="29"/>
      <c r="G35" s="29"/>
    </row>
  </sheetData>
  <mergeCells count="14">
    <mergeCell ref="A4:G4"/>
    <mergeCell ref="A26:G26"/>
    <mergeCell ref="B32:G32"/>
    <mergeCell ref="B2:G2"/>
    <mergeCell ref="A1:G1"/>
    <mergeCell ref="A17:G17"/>
    <mergeCell ref="B28:G28"/>
    <mergeCell ref="B31:G31"/>
    <mergeCell ref="B35:G35"/>
    <mergeCell ref="B30:G30"/>
    <mergeCell ref="B29:G29"/>
    <mergeCell ref="A10:G10"/>
    <mergeCell ref="A34:G34"/>
    <mergeCell ref="B27:G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showGridLines="0" workbookViewId="0">
      <selection activeCell="I6" sqref="I6"/>
    </sheetView>
  </sheetViews>
  <sheetFormatPr defaultRowHeight="15" x14ac:dyDescent="0.25"/>
  <cols>
    <col min="1" max="1" width="3" customWidth="1"/>
    <col min="2" max="2" width="30" customWidth="1"/>
    <col min="3" max="5" width="14" customWidth="1"/>
    <col min="6" max="6" width="18" customWidth="1"/>
    <col min="7" max="7" width="36.7109375" bestFit="1" customWidth="1"/>
  </cols>
  <sheetData>
    <row r="1" spans="1:7" ht="27.95" customHeight="1" x14ac:dyDescent="0.25">
      <c r="A1" s="34" t="s">
        <v>41</v>
      </c>
      <c r="B1" s="21"/>
      <c r="C1" s="21"/>
      <c r="D1" s="21"/>
      <c r="E1" s="21"/>
      <c r="F1" s="21"/>
      <c r="G1" s="21"/>
    </row>
    <row r="2" spans="1:7" x14ac:dyDescent="0.25">
      <c r="B2" s="40"/>
      <c r="C2" s="21"/>
      <c r="D2" s="21"/>
      <c r="E2" s="21"/>
      <c r="F2" s="21"/>
      <c r="G2" s="21"/>
    </row>
    <row r="3" spans="1:7" ht="21.95" customHeight="1" x14ac:dyDescent="0.25">
      <c r="B3" s="2" t="s">
        <v>9</v>
      </c>
      <c r="C3" s="2" t="s">
        <v>42</v>
      </c>
      <c r="D3" s="2" t="s">
        <v>43</v>
      </c>
      <c r="E3" s="2" t="s">
        <v>44</v>
      </c>
      <c r="F3" s="13" t="s">
        <v>45</v>
      </c>
      <c r="G3" s="2" t="s">
        <v>46</v>
      </c>
    </row>
    <row r="4" spans="1:7" ht="18" customHeight="1" x14ac:dyDescent="0.25">
      <c r="A4" s="32" t="s">
        <v>47</v>
      </c>
      <c r="B4" s="21"/>
      <c r="C4" s="21"/>
      <c r="D4" s="21"/>
      <c r="E4" s="21"/>
      <c r="F4" s="21"/>
      <c r="G4" s="21"/>
    </row>
    <row r="5" spans="1:7" ht="15.95" customHeight="1" x14ac:dyDescent="0.25">
      <c r="B5" s="3" t="s">
        <v>16</v>
      </c>
      <c r="C5" s="4">
        <v>391</v>
      </c>
      <c r="D5" s="4">
        <v>245.1</v>
      </c>
      <c r="E5" s="4">
        <v>350</v>
      </c>
      <c r="F5" s="21"/>
      <c r="G5" s="21"/>
    </row>
    <row r="6" spans="1:7" ht="15.95" customHeight="1" x14ac:dyDescent="0.25">
      <c r="B6" s="3" t="s">
        <v>17</v>
      </c>
      <c r="C6" s="4">
        <v>180.7</v>
      </c>
      <c r="D6" s="4">
        <v>197.1</v>
      </c>
      <c r="E6" s="4">
        <v>222.1</v>
      </c>
      <c r="F6" s="21"/>
      <c r="G6" s="21"/>
    </row>
    <row r="7" spans="1:7" ht="15.95" customHeight="1" x14ac:dyDescent="0.25">
      <c r="B7" s="3" t="s">
        <v>18</v>
      </c>
      <c r="C7" s="4">
        <v>123.2</v>
      </c>
      <c r="D7" s="4">
        <v>109.4</v>
      </c>
      <c r="E7" s="4">
        <v>112.4</v>
      </c>
      <c r="F7" s="21"/>
      <c r="G7" s="21"/>
    </row>
    <row r="8" spans="1:7" ht="15.95" customHeight="1" x14ac:dyDescent="0.25">
      <c r="B8" s="3" t="s">
        <v>19</v>
      </c>
      <c r="C8" s="4">
        <v>93.7</v>
      </c>
      <c r="D8" s="4">
        <v>88.1</v>
      </c>
      <c r="E8" s="4">
        <v>73.8</v>
      </c>
      <c r="F8" s="21"/>
      <c r="G8" s="21"/>
    </row>
    <row r="9" spans="1:7" ht="15.95" customHeight="1" x14ac:dyDescent="0.25">
      <c r="B9" s="3" t="s">
        <v>48</v>
      </c>
      <c r="C9" s="4">
        <v>31.4</v>
      </c>
      <c r="D9" s="4">
        <v>29.5</v>
      </c>
      <c r="E9" s="4">
        <v>49.3</v>
      </c>
      <c r="F9" s="21"/>
      <c r="G9" s="21"/>
    </row>
    <row r="10" spans="1:7" ht="18" customHeight="1" x14ac:dyDescent="0.25">
      <c r="A10" s="32" t="s">
        <v>49</v>
      </c>
      <c r="B10" s="21"/>
      <c r="C10" s="21"/>
      <c r="D10" s="21"/>
      <c r="E10" s="21"/>
      <c r="F10" s="21"/>
      <c r="G10" s="21"/>
    </row>
    <row r="11" spans="1:7" ht="15.95" customHeight="1" x14ac:dyDescent="0.25">
      <c r="B11" s="3" t="s">
        <v>22</v>
      </c>
      <c r="C11" s="4">
        <v>364.9</v>
      </c>
      <c r="D11" s="4">
        <v>512.20000000000005</v>
      </c>
      <c r="E11" s="4">
        <v>450.5</v>
      </c>
      <c r="F11" s="21"/>
      <c r="G11" s="21"/>
    </row>
    <row r="12" spans="1:7" ht="15.95" customHeight="1" x14ac:dyDescent="0.25">
      <c r="B12" s="3" t="s">
        <v>23</v>
      </c>
      <c r="C12" s="4">
        <v>152.9</v>
      </c>
      <c r="D12" s="4">
        <v>184.3</v>
      </c>
      <c r="E12" s="4">
        <v>174.8</v>
      </c>
      <c r="F12" s="21"/>
      <c r="G12" s="21"/>
    </row>
    <row r="13" spans="1:7" ht="15.95" customHeight="1" x14ac:dyDescent="0.25">
      <c r="B13" s="3" t="s">
        <v>24</v>
      </c>
      <c r="C13" s="4">
        <v>176.4</v>
      </c>
      <c r="D13" s="4">
        <v>95.8</v>
      </c>
      <c r="E13" s="4">
        <v>95.1</v>
      </c>
      <c r="F13" s="21"/>
      <c r="G13" s="21"/>
    </row>
    <row r="14" spans="1:7" ht="15.95" customHeight="1" x14ac:dyDescent="0.25">
      <c r="B14" s="3" t="s">
        <v>25</v>
      </c>
      <c r="C14" s="4">
        <v>57</v>
      </c>
      <c r="D14" s="4">
        <v>268.5</v>
      </c>
      <c r="E14" s="4">
        <v>314.10000000000002</v>
      </c>
      <c r="F14" s="21"/>
      <c r="G14" s="21"/>
    </row>
    <row r="15" spans="1:7" ht="15.95" customHeight="1" x14ac:dyDescent="0.25">
      <c r="B15" s="3" t="s">
        <v>26</v>
      </c>
      <c r="C15" s="4">
        <v>101.3</v>
      </c>
      <c r="D15" s="4">
        <v>79.900000000000006</v>
      </c>
      <c r="E15" s="4">
        <v>28.8</v>
      </c>
      <c r="F15" s="21"/>
      <c r="G15" s="21"/>
    </row>
    <row r="16" spans="1:7" ht="18" customHeight="1" x14ac:dyDescent="0.25">
      <c r="A16" s="32" t="s">
        <v>50</v>
      </c>
      <c r="B16" s="21"/>
      <c r="C16" s="21"/>
      <c r="D16" s="21"/>
      <c r="E16" s="21"/>
      <c r="F16" s="21"/>
      <c r="G16" s="21"/>
    </row>
    <row r="17" spans="1:7" ht="15.95" customHeight="1" x14ac:dyDescent="0.25">
      <c r="B17" s="3" t="s">
        <v>51</v>
      </c>
      <c r="C17" s="14">
        <v>3500</v>
      </c>
      <c r="D17" s="14">
        <v>3100</v>
      </c>
      <c r="E17" s="14">
        <v>2300</v>
      </c>
      <c r="F17" s="21"/>
      <c r="G17" s="21"/>
    </row>
    <row r="18" spans="1:7" ht="15.95" customHeight="1" x14ac:dyDescent="0.25">
      <c r="B18" s="3" t="s">
        <v>52</v>
      </c>
      <c r="C18" s="14">
        <v>229</v>
      </c>
      <c r="D18" s="14">
        <v>421</v>
      </c>
      <c r="E18" s="14">
        <v>196</v>
      </c>
      <c r="F18" s="21"/>
      <c r="G18" s="21"/>
    </row>
    <row r="19" spans="1:7" ht="15.95" customHeight="1" x14ac:dyDescent="0.25">
      <c r="B19" s="3" t="s">
        <v>20</v>
      </c>
      <c r="C19" s="14">
        <v>6.08</v>
      </c>
      <c r="D19" s="14">
        <v>11.8</v>
      </c>
      <c r="E19" s="14">
        <v>7.74</v>
      </c>
      <c r="F19" s="21"/>
      <c r="G19" s="21"/>
    </row>
    <row r="20" spans="1:7" ht="15.95" customHeight="1" x14ac:dyDescent="0.25">
      <c r="B20" s="3" t="s">
        <v>53</v>
      </c>
      <c r="C20" s="4">
        <v>15.3</v>
      </c>
      <c r="D20" s="4">
        <v>7.4</v>
      </c>
      <c r="E20" s="4">
        <v>12.3</v>
      </c>
      <c r="F20" s="21"/>
      <c r="G20" s="21"/>
    </row>
    <row r="22" spans="1:7" ht="18" customHeight="1" x14ac:dyDescent="0.25">
      <c r="A22" s="32" t="s">
        <v>148</v>
      </c>
      <c r="B22" s="21"/>
      <c r="C22" s="21"/>
      <c r="D22" s="21"/>
      <c r="E22" s="21"/>
      <c r="F22" s="21"/>
      <c r="G22" s="21"/>
    </row>
    <row r="23" spans="1:7" ht="21.95" customHeight="1" x14ac:dyDescent="0.25">
      <c r="B23" s="5" t="s">
        <v>54</v>
      </c>
      <c r="C23" s="2" t="s">
        <v>42</v>
      </c>
      <c r="D23" s="2" t="s">
        <v>43</v>
      </c>
      <c r="E23" s="2" t="s">
        <v>44</v>
      </c>
      <c r="F23" s="13" t="s">
        <v>55</v>
      </c>
      <c r="G23" s="2" t="s">
        <v>56</v>
      </c>
    </row>
    <row r="24" spans="1:7" ht="15.95" customHeight="1" x14ac:dyDescent="0.25">
      <c r="B24" s="6" t="s">
        <v>30</v>
      </c>
      <c r="C24" s="9">
        <f>C6/C5</f>
        <v>0.4621483375959079</v>
      </c>
      <c r="D24" s="9">
        <f>D6/D5</f>
        <v>0.8041615667074663</v>
      </c>
      <c r="E24" s="9">
        <f>E6/E5</f>
        <v>0.63457142857142856</v>
      </c>
      <c r="F24" s="15" t="str">
        <f>INDEX($C$3:$E$3,MATCH(MAX(C24:E24),C24:E24,0))</f>
        <v>Microsoft (MSFT)</v>
      </c>
      <c r="G24" s="6" t="s">
        <v>57</v>
      </c>
    </row>
    <row r="25" spans="1:7" ht="15.95" customHeight="1" x14ac:dyDescent="0.25">
      <c r="B25" s="3" t="s">
        <v>31</v>
      </c>
      <c r="C25" s="10">
        <f>C8/C5</f>
        <v>0.23964194373401534</v>
      </c>
      <c r="D25" s="10">
        <f>D8/D5</f>
        <v>0.35944512443900445</v>
      </c>
      <c r="E25" s="10">
        <f>E8/E5</f>
        <v>0.21085714285714285</v>
      </c>
      <c r="F25" s="16" t="str">
        <f>INDEX($C$3:$E$3,MATCH(MAX(C25:E25),C25:E25,0))</f>
        <v>Microsoft (MSFT)</v>
      </c>
      <c r="G25" s="3" t="s">
        <v>58</v>
      </c>
    </row>
    <row r="26" spans="1:7" ht="15.95" customHeight="1" x14ac:dyDescent="0.25">
      <c r="B26" s="6" t="s">
        <v>32</v>
      </c>
      <c r="C26" s="9">
        <f>C8/C14</f>
        <v>1.643859649122807</v>
      </c>
      <c r="D26" s="9">
        <f>D8/D14</f>
        <v>0.3281191806331471</v>
      </c>
      <c r="E26" s="9">
        <f>E8/E14</f>
        <v>0.23495702005730656</v>
      </c>
      <c r="F26" s="15" t="str">
        <f>INDEX($C$3:$E$3,MATCH(MAX(C26:E26),C26:E26,0))</f>
        <v>Apple (AAPL)</v>
      </c>
      <c r="G26" s="6" t="s">
        <v>59</v>
      </c>
    </row>
    <row r="27" spans="1:7" ht="15.95" customHeight="1" x14ac:dyDescent="0.25">
      <c r="B27" s="3" t="s">
        <v>60</v>
      </c>
      <c r="C27" s="17">
        <f>C15/C14</f>
        <v>1.7771929824561403</v>
      </c>
      <c r="D27" s="17">
        <f>D15/D14</f>
        <v>0.29757914338919927</v>
      </c>
      <c r="E27" s="17">
        <f>E15/E14</f>
        <v>9.1690544412607447E-2</v>
      </c>
      <c r="F27" s="16" t="str">
        <f>INDEX($C$3:$E$3,MATCH(MIN(C27:E27),C27:E27,0))</f>
        <v>Alphabet (GOOGL)</v>
      </c>
      <c r="G27" s="3" t="s">
        <v>61</v>
      </c>
    </row>
    <row r="28" spans="1:7" ht="15.95" customHeight="1" x14ac:dyDescent="0.25">
      <c r="B28" s="6" t="s">
        <v>34</v>
      </c>
      <c r="C28" s="12">
        <f>C12/C13</f>
        <v>0.8667800453514739</v>
      </c>
      <c r="D28" s="12">
        <f>D12/D13</f>
        <v>1.9237995824634657</v>
      </c>
      <c r="E28" s="12">
        <f>E12/E13</f>
        <v>1.8380651945320716</v>
      </c>
      <c r="F28" s="15" t="str">
        <f>INDEX($C$3:$E$3,MATCH(MAX(C28:E28),C28:E28,0))</f>
        <v>Microsoft (MSFT)</v>
      </c>
      <c r="G28" s="6" t="s">
        <v>62</v>
      </c>
    </row>
    <row r="29" spans="1:7" ht="15.95" customHeight="1" x14ac:dyDescent="0.25">
      <c r="B29" s="3" t="s">
        <v>63</v>
      </c>
      <c r="C29" s="17">
        <f>C17/C8</f>
        <v>37.353255069370327</v>
      </c>
      <c r="D29" s="17">
        <f>D17/D8</f>
        <v>35.187287173666292</v>
      </c>
      <c r="E29" s="17">
        <f>E17/E8</f>
        <v>31.165311653116532</v>
      </c>
      <c r="F29" s="16" t="str">
        <f>INDEX($C$3:$E$3,MATCH(MIN(C29:E29),C29:E29,0))</f>
        <v>Alphabet (GOOGL)</v>
      </c>
      <c r="G29" s="3" t="s">
        <v>64</v>
      </c>
    </row>
    <row r="30" spans="1:7" ht="15.95" customHeight="1" x14ac:dyDescent="0.25">
      <c r="B30" s="6" t="s">
        <v>65</v>
      </c>
      <c r="C30" s="11">
        <f>C17/C5</f>
        <v>8.9514066496163682</v>
      </c>
      <c r="D30" s="11">
        <f>D17/D5</f>
        <v>12.647898816809466</v>
      </c>
      <c r="E30" s="11">
        <f>E17/E5</f>
        <v>6.5714285714285712</v>
      </c>
      <c r="F30" s="15" t="str">
        <f>INDEX($C$3:$E$3,MATCH(MIN(C30:E30),C30:E30,0))</f>
        <v>Alphabet (GOOGL)</v>
      </c>
      <c r="G30" s="6" t="s">
        <v>66</v>
      </c>
    </row>
    <row r="31" spans="1:7" ht="15.95" customHeight="1" x14ac:dyDescent="0.25">
      <c r="B31" s="3" t="s">
        <v>67</v>
      </c>
      <c r="C31" s="10">
        <f>C9/C5</f>
        <v>8.0306905370843992E-2</v>
      </c>
      <c r="D31" s="10">
        <f>D9/D5</f>
        <v>0.12035903712770298</v>
      </c>
      <c r="E31" s="10">
        <f>E9/E5</f>
        <v>0.14085714285714285</v>
      </c>
      <c r="F31" s="16" t="str">
        <f>INDEX($C$3:$E$3,MATCH(MAX(C31:E31),C31:E31,0))</f>
        <v>Alphabet (GOOGL)</v>
      </c>
      <c r="G31" s="3" t="s">
        <v>68</v>
      </c>
    </row>
    <row r="33" spans="1:7" ht="18" customHeight="1" x14ac:dyDescent="0.25">
      <c r="A33" s="32" t="s">
        <v>69</v>
      </c>
      <c r="B33" s="21"/>
      <c r="C33" s="21"/>
      <c r="D33" s="21"/>
      <c r="E33" s="21"/>
      <c r="F33" s="21"/>
      <c r="G33" s="21"/>
    </row>
    <row r="34" spans="1:7" ht="20.100000000000001" customHeight="1" x14ac:dyDescent="0.25">
      <c r="B34" s="5" t="s">
        <v>70</v>
      </c>
      <c r="C34" s="38" t="s">
        <v>71</v>
      </c>
      <c r="D34" s="21"/>
      <c r="E34" s="21"/>
      <c r="F34" s="35" t="s">
        <v>72</v>
      </c>
      <c r="G34" s="21"/>
    </row>
    <row r="35" spans="1:7" ht="20.100000000000001" customHeight="1" x14ac:dyDescent="0.25">
      <c r="B35" s="5" t="s">
        <v>73</v>
      </c>
      <c r="C35" s="37" t="s">
        <v>74</v>
      </c>
      <c r="D35" s="21"/>
      <c r="E35" s="21"/>
      <c r="F35" s="35" t="s">
        <v>75</v>
      </c>
      <c r="G35" s="21"/>
    </row>
    <row r="36" spans="1:7" ht="20.100000000000001" customHeight="1" x14ac:dyDescent="0.25">
      <c r="B36" s="5" t="s">
        <v>76</v>
      </c>
      <c r="C36" s="39" t="s">
        <v>77</v>
      </c>
      <c r="D36" s="21"/>
      <c r="E36" s="21"/>
      <c r="F36" s="35" t="s">
        <v>78</v>
      </c>
      <c r="G36" s="21"/>
    </row>
    <row r="37" spans="1:7" ht="20.100000000000001" customHeight="1" x14ac:dyDescent="0.25">
      <c r="B37" s="5" t="s">
        <v>79</v>
      </c>
      <c r="C37" s="38" t="s">
        <v>77</v>
      </c>
      <c r="D37" s="21"/>
      <c r="E37" s="21"/>
      <c r="F37" s="35" t="s">
        <v>80</v>
      </c>
      <c r="G37" s="21"/>
    </row>
    <row r="38" spans="1:7" ht="20.100000000000001" customHeight="1" x14ac:dyDescent="0.25">
      <c r="B38" s="5" t="s">
        <v>81</v>
      </c>
      <c r="C38" s="37" t="s">
        <v>74</v>
      </c>
      <c r="D38" s="21"/>
      <c r="E38" s="21"/>
      <c r="F38" s="35" t="s">
        <v>82</v>
      </c>
      <c r="G38" s="21"/>
    </row>
    <row r="39" spans="1:7" ht="20.100000000000001" customHeight="1" x14ac:dyDescent="0.25">
      <c r="B39" s="5" t="s">
        <v>83</v>
      </c>
      <c r="C39" s="39" t="s">
        <v>77</v>
      </c>
      <c r="D39" s="21"/>
      <c r="E39" s="21"/>
      <c r="F39" s="35" t="s">
        <v>84</v>
      </c>
      <c r="G39" s="21"/>
    </row>
    <row r="40" spans="1:7" ht="20.100000000000001" customHeight="1" x14ac:dyDescent="0.25">
      <c r="B40" s="5" t="s">
        <v>85</v>
      </c>
      <c r="C40" s="38" t="s">
        <v>71</v>
      </c>
      <c r="D40" s="21"/>
      <c r="E40" s="21"/>
      <c r="F40" s="35" t="s">
        <v>86</v>
      </c>
      <c r="G40" s="21"/>
    </row>
    <row r="42" spans="1:7" ht="18" customHeight="1" x14ac:dyDescent="0.25">
      <c r="A42" s="32"/>
      <c r="B42" s="21"/>
      <c r="C42" s="21"/>
      <c r="D42" s="21"/>
      <c r="E42" s="21"/>
      <c r="F42" s="21"/>
      <c r="G42" s="21"/>
    </row>
    <row r="43" spans="1:7" ht="54.95" customHeight="1" x14ac:dyDescent="0.25">
      <c r="B43" s="36"/>
      <c r="C43" s="21"/>
      <c r="D43" s="21"/>
      <c r="E43" s="21"/>
      <c r="F43" s="21"/>
      <c r="G43" s="21"/>
    </row>
  </sheetData>
  <mergeCells count="37">
    <mergeCell ref="F8:G8"/>
    <mergeCell ref="C38:E38"/>
    <mergeCell ref="B2:G2"/>
    <mergeCell ref="F11:G11"/>
    <mergeCell ref="A22:G22"/>
    <mergeCell ref="F19:G19"/>
    <mergeCell ref="F34:G34"/>
    <mergeCell ref="A4:G4"/>
    <mergeCell ref="F5:G5"/>
    <mergeCell ref="A1:G1"/>
    <mergeCell ref="C37:E37"/>
    <mergeCell ref="F38:G38"/>
    <mergeCell ref="A16:G16"/>
    <mergeCell ref="F13:G13"/>
    <mergeCell ref="C34:E34"/>
    <mergeCell ref="F9:G9"/>
    <mergeCell ref="F37:G37"/>
    <mergeCell ref="F6:G6"/>
    <mergeCell ref="A10:G10"/>
    <mergeCell ref="F7:G7"/>
    <mergeCell ref="C36:E36"/>
    <mergeCell ref="F12:G12"/>
    <mergeCell ref="F15:G15"/>
    <mergeCell ref="F20:G20"/>
    <mergeCell ref="F18:G18"/>
    <mergeCell ref="F39:G39"/>
    <mergeCell ref="B43:G43"/>
    <mergeCell ref="F14:G14"/>
    <mergeCell ref="C35:E35"/>
    <mergeCell ref="A33:G33"/>
    <mergeCell ref="A42:G42"/>
    <mergeCell ref="C40:E40"/>
    <mergeCell ref="F40:G40"/>
    <mergeCell ref="C39:E39"/>
    <mergeCell ref="F36:G36"/>
    <mergeCell ref="F17:G17"/>
    <mergeCell ref="F35:G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"/>
  <sheetViews>
    <sheetView showGridLines="0" topLeftCell="A19" workbookViewId="0"/>
  </sheetViews>
  <sheetFormatPr defaultRowHeight="15" x14ac:dyDescent="0.25"/>
  <sheetData>
    <row r="1" spans="2:12" ht="26.1" customHeight="1" x14ac:dyDescent="0.25">
      <c r="B1" s="41" t="s">
        <v>87</v>
      </c>
      <c r="C1" s="21"/>
      <c r="D1" s="21"/>
      <c r="E1" s="21"/>
      <c r="F1" s="21"/>
      <c r="G1" s="21"/>
      <c r="H1" s="21"/>
      <c r="I1" s="21"/>
      <c r="J1" s="21"/>
      <c r="K1" s="21"/>
      <c r="L1" s="21"/>
    </row>
    <row r="3" spans="2:12" x14ac:dyDescent="0.25">
      <c r="B3" s="2" t="s">
        <v>88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2:12" x14ac:dyDescent="0.25">
      <c r="B4" s="3" t="s">
        <v>16</v>
      </c>
      <c r="C4" s="18">
        <v>274.5</v>
      </c>
      <c r="D4" s="18">
        <v>365.8</v>
      </c>
      <c r="E4" s="18">
        <v>394.3</v>
      </c>
      <c r="F4" s="18">
        <v>383.3</v>
      </c>
      <c r="G4" s="18">
        <v>391</v>
      </c>
    </row>
    <row r="5" spans="2:12" x14ac:dyDescent="0.25">
      <c r="B5" s="3" t="s">
        <v>19</v>
      </c>
      <c r="C5" s="18">
        <v>57.4</v>
      </c>
      <c r="D5" s="18">
        <v>94.7</v>
      </c>
      <c r="E5" s="18">
        <v>99.8</v>
      </c>
      <c r="F5" s="18">
        <v>97</v>
      </c>
      <c r="G5" s="18">
        <v>93.7</v>
      </c>
    </row>
    <row r="6" spans="2:12" x14ac:dyDescent="0.25">
      <c r="B6" s="3" t="s">
        <v>89</v>
      </c>
      <c r="C6" s="10">
        <v>0.38200000000000001</v>
      </c>
      <c r="D6" s="10">
        <v>0.41799999999999998</v>
      </c>
      <c r="E6" s="10">
        <v>0.433</v>
      </c>
      <c r="F6" s="10">
        <v>0.441</v>
      </c>
      <c r="G6" s="10">
        <v>0.46200000000000002</v>
      </c>
    </row>
    <row r="7" spans="2:12" x14ac:dyDescent="0.25">
      <c r="B7" s="3" t="s">
        <v>90</v>
      </c>
      <c r="C7" s="10">
        <v>0.20899999999999999</v>
      </c>
      <c r="D7" s="10">
        <v>0.25900000000000001</v>
      </c>
      <c r="E7" s="10">
        <v>0.253</v>
      </c>
      <c r="F7" s="10">
        <v>0.253</v>
      </c>
      <c r="G7" s="10">
        <v>0.24</v>
      </c>
    </row>
    <row r="8" spans="2:12" x14ac:dyDescent="0.25">
      <c r="B8" s="3" t="s">
        <v>91</v>
      </c>
      <c r="C8" s="10">
        <v>0.879</v>
      </c>
      <c r="D8" s="10">
        <v>1.5009999999999999</v>
      </c>
      <c r="E8" s="10">
        <v>1.968</v>
      </c>
      <c r="F8" s="10">
        <v>1.5620000000000001</v>
      </c>
      <c r="G8" s="10">
        <v>1.6439999999999999</v>
      </c>
    </row>
    <row r="9" spans="2:12" x14ac:dyDescent="0.25">
      <c r="B9" s="3" t="s">
        <v>92</v>
      </c>
      <c r="C9" s="17">
        <v>1.7230000000000001</v>
      </c>
      <c r="D9" s="17">
        <v>1.9770000000000001</v>
      </c>
      <c r="E9" s="17">
        <v>2.3679999999999999</v>
      </c>
      <c r="F9" s="17">
        <v>1.7889999999999999</v>
      </c>
      <c r="G9" s="17">
        <v>1.7769999999999999</v>
      </c>
    </row>
  </sheetData>
  <mergeCells count="1">
    <mergeCell ref="B1:L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"/>
  <sheetViews>
    <sheetView showGridLines="0" tabSelected="1" workbookViewId="0"/>
  </sheetViews>
  <sheetFormatPr defaultRowHeight="15" x14ac:dyDescent="0.25"/>
  <sheetData>
    <row r="1" spans="2:13" ht="26.1" customHeight="1" x14ac:dyDescent="0.25">
      <c r="B1" s="41" t="s">
        <v>93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3" spans="2:13" x14ac:dyDescent="0.25">
      <c r="B3" s="2" t="s">
        <v>9</v>
      </c>
      <c r="C3" s="2" t="s">
        <v>94</v>
      </c>
      <c r="D3" s="2" t="s">
        <v>95</v>
      </c>
      <c r="E3" s="2" t="s">
        <v>96</v>
      </c>
    </row>
    <row r="4" spans="2:13" x14ac:dyDescent="0.25">
      <c r="B4" s="3" t="s">
        <v>16</v>
      </c>
      <c r="C4" s="18">
        <v>391</v>
      </c>
      <c r="D4" s="18">
        <v>245.1</v>
      </c>
      <c r="E4" s="18">
        <v>350</v>
      </c>
    </row>
    <row r="5" spans="2:13" x14ac:dyDescent="0.25">
      <c r="B5" s="3" t="s">
        <v>19</v>
      </c>
      <c r="C5" s="18">
        <v>93.7</v>
      </c>
      <c r="D5" s="18">
        <v>88.1</v>
      </c>
      <c r="E5" s="18">
        <v>73.8</v>
      </c>
    </row>
    <row r="6" spans="2:13" x14ac:dyDescent="0.25">
      <c r="B6" s="3" t="s">
        <v>89</v>
      </c>
      <c r="C6" s="10">
        <v>0.46200000000000002</v>
      </c>
      <c r="D6" s="10">
        <v>0.80300000000000005</v>
      </c>
      <c r="E6" s="10">
        <v>0.63400000000000001</v>
      </c>
    </row>
    <row r="7" spans="2:13" x14ac:dyDescent="0.25">
      <c r="B7" s="3" t="s">
        <v>31</v>
      </c>
      <c r="C7" s="10">
        <v>0.24</v>
      </c>
      <c r="D7" s="10">
        <v>0.35899999999999999</v>
      </c>
      <c r="E7" s="10">
        <v>0.21099999999999999</v>
      </c>
    </row>
    <row r="8" spans="2:13" x14ac:dyDescent="0.25">
      <c r="B8" s="3" t="s">
        <v>91</v>
      </c>
      <c r="C8" s="10">
        <v>1.6439999999999999</v>
      </c>
      <c r="D8" s="10">
        <v>0.32800000000000001</v>
      </c>
      <c r="E8" s="10">
        <v>0.23499999999999999</v>
      </c>
    </row>
    <row r="9" spans="2:13" x14ac:dyDescent="0.25">
      <c r="B9" s="3" t="s">
        <v>63</v>
      </c>
      <c r="C9" s="17">
        <v>37.4</v>
      </c>
      <c r="D9" s="17">
        <v>35.200000000000003</v>
      </c>
      <c r="E9" s="17">
        <v>31.2</v>
      </c>
    </row>
    <row r="10" spans="2:13" x14ac:dyDescent="0.25">
      <c r="B10" s="3" t="s">
        <v>92</v>
      </c>
      <c r="C10" s="17">
        <v>1.7769999999999999</v>
      </c>
      <c r="D10" s="17">
        <v>0.29799999999999999</v>
      </c>
      <c r="E10" s="17">
        <v>9.1999999999999998E-2</v>
      </c>
    </row>
  </sheetData>
  <mergeCells count="1">
    <mergeCell ref="B1:M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showGridLines="0" topLeftCell="A13" workbookViewId="0">
      <selection sqref="A1:D1"/>
    </sheetView>
  </sheetViews>
  <sheetFormatPr defaultRowHeight="15" x14ac:dyDescent="0.25"/>
  <cols>
    <col min="2" max="2" width="26" customWidth="1"/>
    <col min="3" max="3" width="22" customWidth="1"/>
    <col min="4" max="4" width="44" customWidth="1"/>
  </cols>
  <sheetData>
    <row r="1" spans="1:4" ht="26.1" customHeight="1" x14ac:dyDescent="0.25">
      <c r="A1" s="34" t="s">
        <v>97</v>
      </c>
      <c r="B1" s="21"/>
      <c r="C1" s="21"/>
      <c r="D1" s="21"/>
    </row>
    <row r="2" spans="1:4" x14ac:dyDescent="0.25">
      <c r="B2" s="2" t="s">
        <v>98</v>
      </c>
      <c r="C2" s="2" t="s">
        <v>99</v>
      </c>
      <c r="D2" s="2" t="s">
        <v>100</v>
      </c>
    </row>
    <row r="3" spans="1:4" ht="18" customHeight="1" x14ac:dyDescent="0.25">
      <c r="B3" s="19" t="s">
        <v>101</v>
      </c>
      <c r="C3" s="6" t="s">
        <v>102</v>
      </c>
      <c r="D3" s="6" t="s">
        <v>103</v>
      </c>
    </row>
    <row r="4" spans="1:4" ht="18" customHeight="1" x14ac:dyDescent="0.25">
      <c r="B4" s="5" t="s">
        <v>104</v>
      </c>
      <c r="C4" s="3" t="s">
        <v>105</v>
      </c>
      <c r="D4" s="3" t="s">
        <v>106</v>
      </c>
    </row>
    <row r="5" spans="1:4" ht="18" customHeight="1" x14ac:dyDescent="0.25">
      <c r="B5" s="19" t="s">
        <v>107</v>
      </c>
      <c r="C5" s="6" t="s">
        <v>108</v>
      </c>
      <c r="D5" s="6" t="s">
        <v>109</v>
      </c>
    </row>
    <row r="6" spans="1:4" ht="18" customHeight="1" x14ac:dyDescent="0.25">
      <c r="B6" s="5" t="s">
        <v>110</v>
      </c>
      <c r="C6" s="3" t="s">
        <v>111</v>
      </c>
      <c r="D6" s="3" t="s">
        <v>112</v>
      </c>
    </row>
    <row r="7" spans="1:4" ht="18" customHeight="1" x14ac:dyDescent="0.25">
      <c r="B7" s="19" t="s">
        <v>113</v>
      </c>
      <c r="C7" s="6" t="s">
        <v>114</v>
      </c>
      <c r="D7" s="6" t="s">
        <v>115</v>
      </c>
    </row>
    <row r="8" spans="1:4" ht="18" customHeight="1" x14ac:dyDescent="0.25">
      <c r="B8" s="5" t="s">
        <v>116</v>
      </c>
      <c r="C8" s="3" t="s">
        <v>117</v>
      </c>
      <c r="D8" s="3" t="s">
        <v>118</v>
      </c>
    </row>
    <row r="9" spans="1:4" ht="18" customHeight="1" x14ac:dyDescent="0.25">
      <c r="B9" s="19" t="s">
        <v>119</v>
      </c>
      <c r="C9" s="6" t="s">
        <v>120</v>
      </c>
      <c r="D9" s="6" t="s">
        <v>121</v>
      </c>
    </row>
    <row r="10" spans="1:4" ht="18" customHeight="1" x14ac:dyDescent="0.25">
      <c r="B10" s="5" t="s">
        <v>122</v>
      </c>
      <c r="C10" s="3" t="s">
        <v>123</v>
      </c>
      <c r="D10" s="3" t="s">
        <v>124</v>
      </c>
    </row>
    <row r="11" spans="1:4" ht="18" customHeight="1" x14ac:dyDescent="0.25">
      <c r="B11" s="19" t="s">
        <v>125</v>
      </c>
      <c r="C11" s="6" t="s">
        <v>126</v>
      </c>
      <c r="D11" s="6" t="s">
        <v>127</v>
      </c>
    </row>
    <row r="12" spans="1:4" ht="18" customHeight="1" x14ac:dyDescent="0.25">
      <c r="B12" s="5" t="s">
        <v>128</v>
      </c>
      <c r="C12" s="3" t="s">
        <v>129</v>
      </c>
      <c r="D12" s="3" t="s">
        <v>130</v>
      </c>
    </row>
    <row r="13" spans="1:4" ht="18" customHeight="1" x14ac:dyDescent="0.25">
      <c r="B13" s="19" t="s">
        <v>131</v>
      </c>
      <c r="C13" s="6" t="s">
        <v>132</v>
      </c>
      <c r="D13" s="6" t="s">
        <v>133</v>
      </c>
    </row>
    <row r="14" spans="1:4" ht="18" customHeight="1" x14ac:dyDescent="0.25">
      <c r="B14" s="5" t="s">
        <v>134</v>
      </c>
      <c r="C14" s="3" t="s">
        <v>135</v>
      </c>
      <c r="D14" s="3" t="s">
        <v>136</v>
      </c>
    </row>
    <row r="15" spans="1:4" ht="18" customHeight="1" x14ac:dyDescent="0.25">
      <c r="B15" s="19" t="s">
        <v>137</v>
      </c>
      <c r="C15" s="6" t="s">
        <v>138</v>
      </c>
      <c r="D15" s="6" t="s">
        <v>139</v>
      </c>
    </row>
    <row r="16" spans="1:4" ht="18" customHeight="1" x14ac:dyDescent="0.25">
      <c r="B16" s="5" t="s">
        <v>140</v>
      </c>
      <c r="C16" s="3" t="s">
        <v>141</v>
      </c>
      <c r="D16" s="3" t="s">
        <v>142</v>
      </c>
    </row>
    <row r="17" spans="2:4" ht="18" customHeight="1" x14ac:dyDescent="0.25">
      <c r="B17" s="19" t="s">
        <v>143</v>
      </c>
      <c r="C17" s="6" t="s">
        <v>144</v>
      </c>
      <c r="D17" s="6" t="s">
        <v>145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Project1_Apple</vt:lpstr>
      <vt:lpstr>Project2_PeerComparison</vt:lpstr>
      <vt:lpstr>Charts_Apple</vt:lpstr>
      <vt:lpstr>Charts_PeerComparison</vt:lpstr>
      <vt:lpstr>Glossary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2026-04-29T05:28:30Z</dcterms:created>
  <dcterms:modified xsi:type="dcterms:W3CDTF">2026-04-29T05:46:13Z</dcterms:modified>
</cp:coreProperties>
</file>